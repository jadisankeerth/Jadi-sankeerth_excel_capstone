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e24-0516\"/>
    </mc:Choice>
  </mc:AlternateContent>
  <xr:revisionPtr revIDLastSave="0" documentId="8_{EF054DC8-8553-474A-86AB-DC514EF14710}" xr6:coauthVersionLast="47" xr6:coauthVersionMax="47" xr10:uidLastSave="{00000000-0000-0000-0000-000000000000}"/>
  <workbookProtection workbookAlgorithmName="SHA-512" workbookHashValue="KDbwlPxn8u0+8F5kUEq4Sr2cEO/oa2BTJ455mVzKeymvj7YdRv9hgp08R/mzV6Jk/laAZzqBrpID1AsmlY+xgw==" workbookSaltValue="IAQaxWD8t7RTzn0j4qiL0g==" workbookSpinCount="100000" lockStructure="1"/>
  <bookViews>
    <workbookView xWindow="-108" yWindow="-108" windowWidth="23256" windowHeight="13896" xr2:uid="{033168AC-5853-4ACD-B05A-7CEB23FB951F}"/>
  </bookViews>
  <sheets>
    <sheet name="Pivot_Analysis" sheetId="8" r:id="rId1"/>
    <sheet name="Executive_Dashboard" sheetId="9" r:id="rId2"/>
    <sheet name="Clean_Data_Warehouse" sheetId="5" r:id="rId3"/>
    <sheet name="Raw_Orders" sheetId="1" r:id="rId4"/>
    <sheet name="Table3" sheetId="6" r:id="rId5"/>
    <sheet name="Product_Catalog" sheetId="3" r:id="rId6"/>
    <sheet name="Table2" sheetId="7" r:id="rId7"/>
    <sheet name="Master_Customers" sheetId="4" r:id="rId8"/>
  </sheets>
  <definedNames>
    <definedName name="ExternalData_1" localSheetId="2" hidden="1">Clean_Data_Warehouse!$A$1:$G$8</definedName>
    <definedName name="ExternalData_1" localSheetId="6" hidden="1">Table2!$A$1:$C$6</definedName>
    <definedName name="ExternalData_1" localSheetId="4" hidden="1">Table3!$A$1:$B$4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8" l="1"/>
  <c r="H2" i="5"/>
  <c r="H3" i="5"/>
  <c r="H4" i="5"/>
  <c r="H5" i="5"/>
  <c r="H6" i="5"/>
  <c r="H7" i="5"/>
  <c r="H8" i="5"/>
  <c r="I2" i="5"/>
  <c r="J2" i="5"/>
  <c r="I3" i="5"/>
  <c r="J3" i="5"/>
  <c r="I4" i="5"/>
  <c r="J4" i="5"/>
  <c r="I5" i="5"/>
  <c r="J5" i="5"/>
  <c r="I6" i="5"/>
  <c r="J6" i="5"/>
  <c r="I7" i="5"/>
  <c r="J7" i="5"/>
  <c r="I8" i="5"/>
  <c r="J8" i="5"/>
  <c r="I2" i="9"/>
  <c r="E2" i="9"/>
  <c r="B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00000000-0015-0000-FFFF-FFFF0200000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<sst xmlns="http://schemas.openxmlformats.org/spreadsheetml/2006/main" count="141" uniqueCount="51">
  <si>
    <t>Order_ID</t>
  </si>
  <si>
    <t>Customer_ID</t>
  </si>
  <si>
    <t>Product_Code</t>
  </si>
  <si>
    <t>Units_Sold</t>
  </si>
  <si>
    <t>Customer_Name</t>
  </si>
  <si>
    <t>Region</t>
  </si>
  <si>
    <t>C-901</t>
  </si>
  <si>
    <t>Acme Retail</t>
  </si>
  <si>
    <t>North</t>
  </si>
  <si>
    <t>C-902</t>
  </si>
  <si>
    <t>Nexus Logistics</t>
  </si>
  <si>
    <t>West</t>
  </si>
  <si>
    <t>C-903</t>
  </si>
  <si>
    <t>Apex Systems</t>
  </si>
  <si>
    <t>East</t>
  </si>
  <si>
    <t>C-904</t>
  </si>
  <si>
    <t>Beacon Tech</t>
  </si>
  <si>
    <t>South</t>
  </si>
  <si>
    <t>C-905</t>
  </si>
  <si>
    <t>Horizon Group</t>
  </si>
  <si>
    <t>Customer _ID</t>
  </si>
  <si>
    <t>TXN-107</t>
  </si>
  <si>
    <t>TXN-106</t>
  </si>
  <si>
    <t>TXN-105</t>
  </si>
  <si>
    <t>TXN-104</t>
  </si>
  <si>
    <t>TXN-103</t>
  </si>
  <si>
    <t>TXN-102</t>
  </si>
  <si>
    <t>TXN-101</t>
  </si>
  <si>
    <t>C-E901</t>
  </si>
  <si>
    <t>PROD-9921-X</t>
  </si>
  <si>
    <t>PROD-4012-M</t>
  </si>
  <si>
    <t>PROD-8815-S</t>
  </si>
  <si>
    <t>Base_price</t>
  </si>
  <si>
    <t>Product_code</t>
  </si>
  <si>
    <t>Table2.Customer_Name</t>
  </si>
  <si>
    <t>Table2.Region</t>
  </si>
  <si>
    <t>Table3.Base_price</t>
  </si>
  <si>
    <t>Product_Type</t>
  </si>
  <si>
    <t>Gross_Revenue</t>
  </si>
  <si>
    <t>Order_Tier</t>
  </si>
  <si>
    <t>Row Labels</t>
  </si>
  <si>
    <t>Grand Total</t>
  </si>
  <si>
    <t>Column Labels</t>
  </si>
  <si>
    <t>High-Value</t>
  </si>
  <si>
    <t>Low-Value</t>
  </si>
  <si>
    <t>Standard</t>
  </si>
  <si>
    <t>Sum of Gross_Revenue</t>
  </si>
  <si>
    <t>TOTAL REVENUE</t>
  </si>
  <si>
    <t>TOTAL UNITS SOLD</t>
  </si>
  <si>
    <t>TOTAL ORDER COUNT</t>
  </si>
  <si>
    <t>Sum of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</si>
</sst>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7" tint="0.59999389629810485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onnections" Target="connections.xml" /><Relationship Id="rId5" Type="http://schemas.openxmlformats.org/officeDocument/2006/relationships/worksheet" Target="worksheets/sheet5.xml" /><Relationship Id="rId15" Type="http://schemas.openxmlformats.org/officeDocument/2006/relationships/customXml" Target="../customXml/item1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pivotCacheDefinition" Target="pivotCache/pivotCacheDefinition1.xml" /><Relationship Id="rId14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Performance by Region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914260717410325E-2"/>
          <c:y val="0.11615740740740743"/>
          <c:w val="0.87764129483814524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Pivot_Analysis!$H$5</c:f>
              <c:strCache>
                <c:ptCount val="1"/>
                <c:pt idx="0">
                  <c:v>Sum of Gross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Pivot_Analysis!$G$6:$G$9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Pivot_Analysis!$H$6:$H$9</c:f>
              <c:numCache>
                <c:formatCode>General</c:formatCode>
                <c:ptCount val="4"/>
                <c:pt idx="0">
                  <c:v>45</c:v>
                </c:pt>
                <c:pt idx="1">
                  <c:v>1430</c:v>
                </c:pt>
                <c:pt idx="2">
                  <c:v>540</c:v>
                </c:pt>
                <c:pt idx="3">
                  <c:v>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D-4D15-AA4C-53871D24F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16607"/>
        <c:axId val="1630355664"/>
      </c:barChart>
      <c:catAx>
        <c:axId val="17701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355664"/>
        <c:crosses val="autoZero"/>
        <c:auto val="1"/>
        <c:lblAlgn val="ctr"/>
        <c:lblOffset val="100"/>
        <c:noMultiLvlLbl val="0"/>
      </c:catAx>
      <c:valAx>
        <c:axId val="163035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1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575387</xdr:colOff>
      <xdr:row>6</xdr:row>
      <xdr:rowOff>15551</xdr:rowOff>
    </xdr:from>
    <xdr:to>
      <xdr:col>9</xdr:col>
      <xdr:colOff>528734</xdr:colOff>
      <xdr:row>20</xdr:row>
      <xdr:rowOff>146180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ABC41D-4246-4D34-ADB9-147D8E3BB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th" refreshedDate="46305.709238310184" createdVersion="8" refreshedVersion="8" minRefreshableVersion="3" recordCount="7" xr:uid="{C771FB4F-C69D-4C64-9B35-DA6F71C58C1E}">
  <cacheSource type="worksheet">
    <worksheetSource name="Table1_1"/>
  </cacheSource>
  <cacheFields count="10">
    <cacheField name="Order_ID" numFmtId="0">
      <sharedItems/>
    </cacheField>
    <cacheField name="Customer_ID" numFmtId="0">
      <sharedItems/>
    </cacheField>
    <cacheField name="Product_Code" numFmtId="0">
      <sharedItems/>
    </cacheField>
    <cacheField name="Units_Sold" numFmtId="0">
      <sharedItems containsSemiMixedTypes="0" containsString="0" containsNumber="1" containsInteger="1" minValue="1" maxValue="15"/>
    </cacheField>
    <cacheField name="Table2.Customer_Name" numFmtId="0">
      <sharedItems count="5">
        <s v="Acme Retail"/>
        <s v="Nexus Logistics"/>
        <s v="Beacon Tech"/>
        <s v="Apex Systems"/>
        <s v="Horizon Group"/>
      </sharedItems>
    </cacheField>
    <cacheField name="Table2.Region" numFmtId="0">
      <sharedItems count="4">
        <s v="North"/>
        <s v="West"/>
        <s v="South"/>
        <s v="East"/>
      </sharedItems>
    </cacheField>
    <cacheField name="Table3.Base_price" numFmtId="0">
      <sharedItems containsSemiMixedTypes="0" containsString="0" containsNumber="1" containsInteger="1" minValue="45" maxValue="150"/>
    </cacheField>
    <cacheField name="Product_Type" numFmtId="0">
      <sharedItems/>
    </cacheField>
    <cacheField name="Gross_Revenue" numFmtId="0">
      <sharedItems containsSemiMixedTypes="0" containsString="0" containsNumber="1" containsInteger="1" minValue="45" maxValue="1275"/>
    </cacheField>
    <cacheField name="Order_Tier" numFmtId="0">
      <sharedItems count="3">
        <s v="Standard"/>
        <s v="High-Value"/>
        <s v="Low-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TXN-101"/>
    <s v="C-E901"/>
    <s v="PROD-9921-X"/>
    <n v="5"/>
    <x v="0"/>
    <x v="0"/>
    <n v="150"/>
    <s v="9921"/>
    <n v="750"/>
    <x v="0"/>
  </r>
  <r>
    <s v="TXN-103"/>
    <s v="C-902"/>
    <s v="PROD-9921-X"/>
    <n v="2"/>
    <x v="1"/>
    <x v="1"/>
    <n v="150"/>
    <s v="9921"/>
    <n v="300"/>
    <x v="0"/>
  </r>
  <r>
    <s v="TXN-104"/>
    <s v="C-901"/>
    <s v="PROD-8815-S"/>
    <n v="8"/>
    <x v="0"/>
    <x v="0"/>
    <n v="85"/>
    <s v="8815"/>
    <n v="680"/>
    <x v="0"/>
  </r>
  <r>
    <s v="TXN-102"/>
    <s v="C-904"/>
    <s v="PROD-4012-M"/>
    <n v="12"/>
    <x v="2"/>
    <x v="2"/>
    <n v="45"/>
    <s v="4012"/>
    <n v="540"/>
    <x v="0"/>
  </r>
  <r>
    <s v="TXN-106"/>
    <s v="C-902"/>
    <s v="PROD-8815-S"/>
    <n v="15"/>
    <x v="1"/>
    <x v="1"/>
    <n v="85"/>
    <s v="8815"/>
    <n v="1275"/>
    <x v="1"/>
  </r>
  <r>
    <s v="TXN-105"/>
    <s v="C-903"/>
    <s v="PROD-4012-M"/>
    <n v="1"/>
    <x v="3"/>
    <x v="3"/>
    <n v="45"/>
    <s v="4012"/>
    <n v="45"/>
    <x v="2"/>
  </r>
  <r>
    <s v="TXN-107"/>
    <s v="C-905"/>
    <s v="PROD-9921-X"/>
    <n v="4"/>
    <x v="4"/>
    <x v="1"/>
    <n v="150"/>
    <s v="9921"/>
    <n v="6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E0BC7-82FE-46FD-A596-5805D45B4B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1" firstDataRow="2" firstDataCol="1"/>
  <pivotFields count="10">
    <pivotField showAll="0"/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axis="axisCol" showAll="0">
      <items count="4">
        <item x="1"/>
        <item x="2"/>
        <item x="0"/>
        <item t="default"/>
      </items>
    </pivotField>
  </pivotFields>
  <rowFields count="2">
    <field x="5"/>
    <field x="4"/>
  </rowFields>
  <rowItems count="10">
    <i>
      <x/>
    </i>
    <i r="1">
      <x v="1"/>
    </i>
    <i>
      <x v="1"/>
    </i>
    <i r="1">
      <x/>
    </i>
    <i>
      <x v="2"/>
    </i>
    <i r="1">
      <x v="2"/>
    </i>
    <i>
      <x v="3"/>
    </i>
    <i r="1">
      <x v="3"/>
    </i>
    <i r="1"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Gross_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0000000}" autoFormatId="16" applyNumberFormats="0" applyBorderFormats="0" applyFontFormats="0" applyPatternFormats="0" applyAlignmentFormats="0" applyWidthHeightFormats="0">
  <queryTableRefresh nextId="14" unboundColumnsRight="3">
    <queryTableFields count="10">
      <queryTableField id="1" name="Order_ID" tableColumnId="1"/>
      <queryTableField id="2" name="Customer_ID" tableColumnId="2"/>
      <queryTableField id="3" name="Product_Code" tableColumnId="3"/>
      <queryTableField id="4" name="Units_Sold" tableColumnId="4"/>
      <queryTableField id="5" name="Table2.Customer_Name" tableColumnId="5"/>
      <queryTableField id="6" name="Table2.Region" tableColumnId="6"/>
      <queryTableField id="7" name="Table3.Base_price" tableColumnId="7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400-000001000000}" autoFormatId="16" applyNumberFormats="0" applyBorderFormats="0" applyFontFormats="0" applyPatternFormats="0" applyAlignmentFormats="0" applyWidthHeightFormats="0">
  <queryTableRefresh nextId="3">
    <queryTableFields count="2">
      <queryTableField id="1" name="Base_price" tableColumnId="1"/>
      <queryTableField id="2" name="Product_co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600-000002000000}" autoFormatId="16" applyNumberFormats="0" applyBorderFormats="0" applyFontFormats="0" applyPatternFormats="0" applyAlignmentFormats="0" applyWidthHeightFormats="0">
  <queryTableRefresh nextId="4">
    <queryTableFields count="3">
      <queryTableField id="1" name="Customer _ID" tableColumnId="1"/>
      <queryTableField id="2" name="Customer_Name" tableColumnId="2"/>
      <queryTableField id="3" name="Region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 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09293F-B437-45CB-9088-6B60E26BCAFD}" name="Table8" displayName="Table8" ref="G5:H10" totalsRowShown="0">
  <autoFilter ref="G5:H10" xr:uid="{B809293F-B437-45CB-9088-6B60E26BCAFD}"/>
  <tableColumns count="2">
    <tableColumn id="1" xr3:uid="{744F19D5-CB94-4AA2-B635-963ACFF95F9E}" name="Row Labels"/>
    <tableColumn id="2" xr3:uid="{FCEFC967-4760-490A-A411-FB54E196B713}" name="Sum of Gross 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D46F6E-9BF6-462C-B1ED-B1265FD7747C}" name="Table1_1" displayName="Table1_1" ref="A1:J8" tableType="queryTable" totalsRowShown="0">
  <autoFilter ref="A1:J8" xr:uid="{3AD46F6E-9BF6-462C-B1ED-B1265FD7747C}"/>
  <tableColumns count="10">
    <tableColumn id="1" xr3:uid="{00FAEBD7-8A68-4D21-BAB1-518815883661}" uniqueName="1" name="Order_ID" queryTableFieldId="1" dataDxfId="13"/>
    <tableColumn id="2" xr3:uid="{85E95157-223C-44C2-8820-4D85F3CE623E}" uniqueName="2" name="Customer_ID" queryTableFieldId="2" dataDxfId="12"/>
    <tableColumn id="3" xr3:uid="{F0881044-58F9-4A07-88FB-796C8171E385}" uniqueName="3" name="Product_Code" queryTableFieldId="3" dataDxfId="11"/>
    <tableColumn id="4" xr3:uid="{804B4CF4-06C2-4CC6-A8D5-1DC7ECF2DD7C}" uniqueName="4" name="Units_Sold" queryTableFieldId="4"/>
    <tableColumn id="5" xr3:uid="{DD3A8678-FF11-4E30-A718-13E6DF748F8E}" uniqueName="5" name="Table2.Customer_Name" queryTableFieldId="5" dataDxfId="10"/>
    <tableColumn id="6" xr3:uid="{1269486F-499B-460B-A472-A876265324DA}" uniqueName="6" name="Table2.Region" queryTableFieldId="6" dataDxfId="9"/>
    <tableColumn id="7" xr3:uid="{58813627-267E-49DF-AEB7-3CD85842D1C0}" uniqueName="7" name="Table3.Base_price" queryTableFieldId="7"/>
    <tableColumn id="11" xr3:uid="{088C23B8-2BDE-47D4-AEAF-E2CCCC8E1472}" uniqueName="11" name="Product_Type" queryTableFieldId="11" dataDxfId="8">
      <calculatedColumnFormula>MID(C2,6,4)</calculatedColumnFormula>
    </tableColumn>
    <tableColumn id="12" xr3:uid="{875C0F20-EBCF-4D03-9632-CADF08237DC6}" uniqueName="12" name="Gross_Revenue" queryTableFieldId="12" dataDxfId="7">
      <calculatedColumnFormula>D2*G2</calculatedColumnFormula>
    </tableColumn>
    <tableColumn id="13" xr3:uid="{EE092C97-FAC2-43C0-8B5C-2D66A580DEAE}" uniqueName="13" name="Order_Tier" queryTableFieldId="13" dataDxfId="6">
      <calculatedColumnFormula>IF(I2&gt;=1000,"High-Value",IF(I2&gt;=300,"Standard","Low-Value"))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46AD6-6353-40ED-AFFF-0CB5B8806670}" name="Table1" displayName="Table1" ref="A1:D8" totalsRowShown="0">
  <autoFilter ref="A1:D8" xr:uid="{DBC46AD6-6353-40ED-AFFF-0CB5B8806670}"/>
  <tableColumns count="4">
    <tableColumn id="1" xr3:uid="{5411D682-E135-4DB9-B5E3-FB35655B0F0E}" name="Order_ID"/>
    <tableColumn id="2" xr3:uid="{05599FA1-C1F7-402C-BF01-DAB49A717B05}" name="Customer_ID"/>
    <tableColumn id="3" xr3:uid="{AA6E0303-880D-4C4F-98C4-89E25D2BED45}" name="Product_Code"/>
    <tableColumn id="4" xr3:uid="{44E2AA5B-7AEC-4894-9C04-5886CC4396FA}" name="Units_Sol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C536E3-3EF8-4C6F-9B62-8D6E1E5499BA}" name="Table3_1" displayName="Table3_1" ref="A1:B4" tableType="queryTable" totalsRowShown="0">
  <autoFilter ref="A1:B4" xr:uid="{91C536E3-3EF8-4C6F-9B62-8D6E1E5499BA}"/>
  <tableColumns count="2">
    <tableColumn id="1" xr3:uid="{9E36AABF-CDDD-4C07-AE15-3A844070679D}" uniqueName="1" name="Base_price" queryTableFieldId="1"/>
    <tableColumn id="2" xr3:uid="{58AC1851-3477-400B-844F-AA3FA59B060A}" uniqueName="2" name="Product_code" queryTableFieldId="2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F895D-6896-4E6D-AC72-B7C82C679026}" name="Table3" displayName="Table3" ref="A1:B4" totalsRowShown="0">
  <autoFilter ref="A1:B4" xr:uid="{20DF895D-6896-4E6D-AC72-B7C82C679026}"/>
  <tableColumns count="2">
    <tableColumn id="1" xr3:uid="{06470C5E-A3F3-4C7B-BCFD-B09D7FC1F4C6}" name="Base_price"/>
    <tableColumn id="2" xr3:uid="{9723CD0E-5834-42C3-975F-308CADD82E79}" name="Product_cod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29ACC4-5D30-4A02-BDD7-E212B7623A6B}" name="Table2_1" displayName="Table2_1" ref="A1:C6" tableType="queryTable" totalsRowShown="0">
  <autoFilter ref="A1:C6" xr:uid="{BB29ACC4-5D30-4A02-BDD7-E212B7623A6B}"/>
  <tableColumns count="3">
    <tableColumn id="1" xr3:uid="{C2DC1117-3F52-4B9C-BF19-78C6D25F36D6}" uniqueName="1" name="Customer _ID" queryTableFieldId="1" dataDxfId="4"/>
    <tableColumn id="2" xr3:uid="{78490615-2DBE-4D26-AC09-83A31A7B73BF}" uniqueName="2" name="Customer_Name" queryTableFieldId="2" dataDxfId="3"/>
    <tableColumn id="3" xr3:uid="{59BA6868-9F77-45DF-9322-B5B7149A88A0}" uniqueName="3" name="Region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902D9-C3DD-43F7-B3E1-B513D20D6285}" name="Table2" displayName="Table2" ref="A1:C6" totalsRowShown="0" headerRowDxfId="1">
  <autoFilter ref="A1:C6" xr:uid="{DFC902D9-C3DD-43F7-B3E1-B513D20D6285}"/>
  <tableColumns count="3">
    <tableColumn id="1" xr3:uid="{03C0C1DA-8D20-4B1D-ACE4-8D4D2485E6DF}" name="Customer _ID"/>
    <tableColumn id="2" xr3:uid="{3405E882-E0CF-4C07-9C24-40CB53DD7188}" name="Customer_Name"/>
    <tableColumn id="3" xr3:uid="{DE0C6BED-B055-46BF-841A-3BDDA3EA19AF}" name="Reg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0BFC-47E3-46D4-8E50-25F9591BB948}">
  <dimension ref="A3:H14"/>
  <sheetViews>
    <sheetView tabSelected="1" zoomScale="48" workbookViewId="0">
      <selection activeCell="E27" sqref="E27"/>
    </sheetView>
  </sheetViews>
  <sheetFormatPr defaultRowHeight="15" x14ac:dyDescent="0.2"/>
  <cols>
    <col min="1" max="1" width="30.66796875" bestFit="1" customWidth="1"/>
    <col min="2" max="2" width="24.2109375" bestFit="1" customWidth="1"/>
    <col min="3" max="3" width="13.98828125" bestFit="1" customWidth="1"/>
    <col min="4" max="4" width="12.375" bestFit="1" customWidth="1"/>
    <col min="5" max="5" width="16.140625" bestFit="1" customWidth="1"/>
    <col min="7" max="7" width="20.04296875" bestFit="1" customWidth="1"/>
    <col min="8" max="8" width="34.30078125" bestFit="1" customWidth="1"/>
  </cols>
  <sheetData>
    <row r="3" spans="1:8" x14ac:dyDescent="0.2">
      <c r="A3" s="2" t="s">
        <v>46</v>
      </c>
      <c r="B3" s="2" t="s">
        <v>42</v>
      </c>
    </row>
    <row r="4" spans="1:8" x14ac:dyDescent="0.2">
      <c r="A4" s="2" t="s">
        <v>40</v>
      </c>
      <c r="B4" t="s">
        <v>43</v>
      </c>
      <c r="C4" t="s">
        <v>44</v>
      </c>
      <c r="D4" t="s">
        <v>45</v>
      </c>
      <c r="E4" t="s">
        <v>41</v>
      </c>
    </row>
    <row r="5" spans="1:8" x14ac:dyDescent="0.2">
      <c r="A5" s="3" t="s">
        <v>14</v>
      </c>
      <c r="C5">
        <v>45</v>
      </c>
      <c r="E5">
        <v>45</v>
      </c>
      <c r="G5" t="s">
        <v>40</v>
      </c>
      <c r="H5" t="s">
        <v>50</v>
      </c>
    </row>
    <row r="6" spans="1:8" x14ac:dyDescent="0.2">
      <c r="A6" s="4" t="s">
        <v>13</v>
      </c>
      <c r="C6">
        <v>45</v>
      </c>
      <c r="E6">
        <v>45</v>
      </c>
      <c r="G6" t="s">
        <v>14</v>
      </c>
      <c r="H6">
        <v>45</v>
      </c>
    </row>
    <row r="7" spans="1:8" x14ac:dyDescent="0.2">
      <c r="A7" s="3" t="s">
        <v>8</v>
      </c>
      <c r="D7">
        <v>1430</v>
      </c>
      <c r="E7">
        <v>1430</v>
      </c>
      <c r="G7" t="s">
        <v>8</v>
      </c>
      <c r="H7">
        <v>1430</v>
      </c>
    </row>
    <row r="8" spans="1:8" x14ac:dyDescent="0.2">
      <c r="A8" s="4" t="s">
        <v>7</v>
      </c>
      <c r="D8">
        <v>1430</v>
      </c>
      <c r="E8">
        <v>1430</v>
      </c>
      <c r="G8" t="s">
        <v>17</v>
      </c>
      <c r="H8">
        <v>540</v>
      </c>
    </row>
    <row r="9" spans="1:8" x14ac:dyDescent="0.2">
      <c r="A9" s="3" t="s">
        <v>17</v>
      </c>
      <c r="D9">
        <v>540</v>
      </c>
      <c r="E9">
        <v>540</v>
      </c>
      <c r="G9" t="s">
        <v>11</v>
      </c>
      <c r="H9">
        <v>2175</v>
      </c>
    </row>
    <row r="10" spans="1:8" x14ac:dyDescent="0.2">
      <c r="A10" s="4" t="s">
        <v>16</v>
      </c>
      <c r="D10">
        <v>540</v>
      </c>
      <c r="E10">
        <v>540</v>
      </c>
      <c r="G10" s="1" t="s">
        <v>41</v>
      </c>
      <c r="H10" s="1">
        <f>SUM(H6:H9)</f>
        <v>4190</v>
      </c>
    </row>
    <row r="11" spans="1:8" x14ac:dyDescent="0.2">
      <c r="A11" s="3" t="s">
        <v>11</v>
      </c>
      <c r="B11">
        <v>1275</v>
      </c>
      <c r="D11">
        <v>900</v>
      </c>
      <c r="E11">
        <v>2175</v>
      </c>
    </row>
    <row r="12" spans="1:8" x14ac:dyDescent="0.2">
      <c r="A12" s="4" t="s">
        <v>19</v>
      </c>
      <c r="D12">
        <v>600</v>
      </c>
      <c r="E12">
        <v>600</v>
      </c>
    </row>
    <row r="13" spans="1:8" x14ac:dyDescent="0.2">
      <c r="A13" s="4" t="s">
        <v>10</v>
      </c>
      <c r="B13">
        <v>1275</v>
      </c>
      <c r="D13">
        <v>300</v>
      </c>
      <c r="E13">
        <v>1575</v>
      </c>
    </row>
    <row r="14" spans="1:8" x14ac:dyDescent="0.2">
      <c r="A14" s="3" t="s">
        <v>41</v>
      </c>
      <c r="B14">
        <v>1275</v>
      </c>
      <c r="C14">
        <v>45</v>
      </c>
      <c r="D14">
        <v>2870</v>
      </c>
      <c r="E14">
        <v>4190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431A-ED2B-4D2D-AE0C-61838DCC4970}">
  <dimension ref="B1:K5"/>
  <sheetViews>
    <sheetView showGridLines="0" zoomScale="92" workbookViewId="0">
      <selection activeCell="Q14" sqref="Q14"/>
    </sheetView>
  </sheetViews>
  <sheetFormatPr defaultRowHeight="15" x14ac:dyDescent="0.2"/>
  <cols>
    <col min="3" max="3" width="14.390625" bestFit="1" customWidth="1"/>
  </cols>
  <sheetData>
    <row r="1" spans="2:11" ht="18.75" x14ac:dyDescent="0.25">
      <c r="B1" s="8" t="s">
        <v>47</v>
      </c>
      <c r="C1" s="8"/>
      <c r="E1" s="7" t="s">
        <v>48</v>
      </c>
      <c r="F1" s="1"/>
      <c r="G1" s="1"/>
      <c r="I1" s="7" t="s">
        <v>49</v>
      </c>
      <c r="J1" s="1"/>
      <c r="K1" s="1"/>
    </row>
    <row r="2" spans="2:11" ht="16.5" x14ac:dyDescent="0.25">
      <c r="B2" s="9">
        <f>SUM(Clean_Data_Warehouse!I2:I8)</f>
        <v>4190</v>
      </c>
      <c r="C2" s="9"/>
      <c r="E2" s="6">
        <f>SUM(Clean_Data_Warehouse!D2:D8)</f>
        <v>47</v>
      </c>
      <c r="I2" s="6">
        <f>COUNTA(Clean_Data_Warehouse!A2:A8)</f>
        <v>7</v>
      </c>
    </row>
    <row r="5" spans="2:11" ht="18.75" x14ac:dyDescent="0.25">
      <c r="E5" s="5"/>
      <c r="F5" s="5"/>
    </row>
  </sheetData>
  <mergeCells count="2">
    <mergeCell ref="B1:C1"/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C7B6-443B-4D35-9EB8-961EB3ED2E3E}">
  <dimension ref="A1:J8"/>
  <sheetViews>
    <sheetView workbookViewId="0">
      <selection activeCell="H7" sqref="H7"/>
    </sheetView>
  </sheetViews>
  <sheetFormatPr defaultRowHeight="15" x14ac:dyDescent="0.2"/>
  <cols>
    <col min="1" max="1" width="10.4921875" bestFit="1" customWidth="1"/>
    <col min="2" max="2" width="13.85546875" bestFit="1" customWidth="1"/>
    <col min="3" max="3" width="14.9296875" bestFit="1" customWidth="1"/>
    <col min="4" max="4" width="12.10546875" bestFit="1" customWidth="1"/>
    <col min="5" max="5" width="23.5390625" bestFit="1" customWidth="1"/>
    <col min="6" max="6" width="14.9296875" bestFit="1" customWidth="1"/>
    <col min="7" max="7" width="18.5625" bestFit="1" customWidth="1"/>
    <col min="8" max="8" width="14.390625" bestFit="1" customWidth="1"/>
    <col min="9" max="9" width="15.87109375" bestFit="1" customWidth="1"/>
    <col min="10" max="10" width="11.8359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 x14ac:dyDescent="0.2">
      <c r="A2" t="s">
        <v>27</v>
      </c>
      <c r="B2" t="s">
        <v>28</v>
      </c>
      <c r="C2" t="s">
        <v>29</v>
      </c>
      <c r="D2">
        <v>5</v>
      </c>
      <c r="G2">
        <v>150</v>
      </c>
      <c r="H2" t="str">
        <f t="shared" ref="H2:H8" si="0">MID(C2,6,4)</f>
        <v>9921</v>
      </c>
      <c r="I2">
        <f t="shared" ref="I2:I8" si="1">D2*G2</f>
        <v>750</v>
      </c>
      <c r="J2" t="str">
        <f t="shared" ref="J2:J8" si="2">IF(I2&gt;=1000,"High-Value",IF(I2&gt;=300,"Standard","Low-Value"))</f>
        <v>Standard</v>
      </c>
    </row>
    <row r="3" spans="1:10" x14ac:dyDescent="0.2">
      <c r="A3" t="s">
        <v>25</v>
      </c>
      <c r="B3" t="s">
        <v>9</v>
      </c>
      <c r="C3" t="s">
        <v>29</v>
      </c>
      <c r="D3">
        <v>2</v>
      </c>
      <c r="E3" t="s">
        <v>10</v>
      </c>
      <c r="F3" t="s">
        <v>11</v>
      </c>
      <c r="G3">
        <v>150</v>
      </c>
      <c r="H3" t="str">
        <f t="shared" si="0"/>
        <v>9921</v>
      </c>
      <c r="I3">
        <f t="shared" si="1"/>
        <v>300</v>
      </c>
      <c r="J3" t="str">
        <f t="shared" si="2"/>
        <v>Standard</v>
      </c>
    </row>
    <row r="4" spans="1:10" x14ac:dyDescent="0.2">
      <c r="A4" t="s">
        <v>24</v>
      </c>
      <c r="B4" t="s">
        <v>6</v>
      </c>
      <c r="C4" t="s">
        <v>31</v>
      </c>
      <c r="D4">
        <v>8</v>
      </c>
      <c r="E4" t="s">
        <v>7</v>
      </c>
      <c r="F4" t="s">
        <v>8</v>
      </c>
      <c r="G4">
        <v>85</v>
      </c>
      <c r="H4" t="str">
        <f t="shared" si="0"/>
        <v>8815</v>
      </c>
      <c r="I4">
        <f t="shared" si="1"/>
        <v>680</v>
      </c>
      <c r="J4" t="str">
        <f t="shared" si="2"/>
        <v>Standard</v>
      </c>
    </row>
    <row r="5" spans="1:10" x14ac:dyDescent="0.2">
      <c r="A5" t="s">
        <v>26</v>
      </c>
      <c r="B5" t="s">
        <v>15</v>
      </c>
      <c r="C5" t="s">
        <v>30</v>
      </c>
      <c r="D5">
        <v>12</v>
      </c>
      <c r="E5" t="s">
        <v>16</v>
      </c>
      <c r="F5" t="s">
        <v>17</v>
      </c>
      <c r="G5">
        <v>45</v>
      </c>
      <c r="H5" t="str">
        <f t="shared" si="0"/>
        <v>4012</v>
      </c>
      <c r="I5">
        <f t="shared" si="1"/>
        <v>540</v>
      </c>
      <c r="J5" t="str">
        <f t="shared" si="2"/>
        <v>Standard</v>
      </c>
    </row>
    <row r="6" spans="1:10" x14ac:dyDescent="0.2">
      <c r="A6" t="s">
        <v>22</v>
      </c>
      <c r="B6" t="s">
        <v>9</v>
      </c>
      <c r="C6" t="s">
        <v>31</v>
      </c>
      <c r="D6">
        <v>15</v>
      </c>
      <c r="E6" t="s">
        <v>10</v>
      </c>
      <c r="F6" t="s">
        <v>11</v>
      </c>
      <c r="G6">
        <v>85</v>
      </c>
      <c r="H6" t="str">
        <f t="shared" si="0"/>
        <v>8815</v>
      </c>
      <c r="I6">
        <f t="shared" si="1"/>
        <v>1275</v>
      </c>
      <c r="J6" t="str">
        <f t="shared" si="2"/>
        <v>High-Value</v>
      </c>
    </row>
    <row r="7" spans="1:10" x14ac:dyDescent="0.2">
      <c r="A7" t="s">
        <v>23</v>
      </c>
      <c r="B7" t="s">
        <v>12</v>
      </c>
      <c r="C7" t="s">
        <v>30</v>
      </c>
      <c r="D7">
        <v>1</v>
      </c>
      <c r="E7" t="s">
        <v>13</v>
      </c>
      <c r="F7" t="s">
        <v>14</v>
      </c>
      <c r="G7">
        <v>45</v>
      </c>
      <c r="H7" t="str">
        <f t="shared" si="0"/>
        <v>4012</v>
      </c>
      <c r="I7">
        <f t="shared" si="1"/>
        <v>45</v>
      </c>
      <c r="J7" t="str">
        <f t="shared" si="2"/>
        <v>Low-Value</v>
      </c>
    </row>
    <row r="8" spans="1:10" x14ac:dyDescent="0.2">
      <c r="A8" t="s">
        <v>21</v>
      </c>
      <c r="B8" t="s">
        <v>18</v>
      </c>
      <c r="C8" t="s">
        <v>29</v>
      </c>
      <c r="D8">
        <v>4</v>
      </c>
      <c r="E8" t="s">
        <v>19</v>
      </c>
      <c r="F8" t="s">
        <v>11</v>
      </c>
      <c r="G8">
        <v>150</v>
      </c>
      <c r="H8" t="str">
        <f t="shared" si="0"/>
        <v>9921</v>
      </c>
      <c r="I8">
        <f t="shared" si="1"/>
        <v>600</v>
      </c>
      <c r="J8" t="str">
        <f t="shared" si="2"/>
        <v>Standard</v>
      </c>
    </row>
  </sheetData>
  <sheetProtection algorithmName="SHA-512" hashValue="7eATXeoQP0e378HabKBNbge0ZQeFUcVBQsnDgnsrBqgJwRhrXj66TpY9K2OPy2zUo4f9/21Blvf5VkjOpSZpbQ==" saltValue="AET1/HkLtr2ayGlTLZ8ZuQ==" spinCount="100000" sheet="1" objects="1" scenarios="1"/>
  <phoneticPr fontId="1" type="noConversion"/>
  <conditionalFormatting sqref="J1:J1048576">
    <cfRule type="containsText" dxfId="0" priority="1" operator="containsText" text="High-Value">
      <formula>NOT(ISERROR(SEARCH("High-Value",J1)))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C31A-5FEB-4905-A481-C01B405B5F66}">
  <dimension ref="A1:D8"/>
  <sheetViews>
    <sheetView workbookViewId="0">
      <selection activeCell="B3" sqref="B3"/>
    </sheetView>
  </sheetViews>
  <sheetFormatPr defaultRowHeight="15" x14ac:dyDescent="0.2"/>
  <cols>
    <col min="1" max="1" width="10.22265625" customWidth="1"/>
    <col min="2" max="2" width="13.5859375" customWidth="1"/>
    <col min="3" max="3" width="14.52734375" customWidth="1"/>
    <col min="4" max="4" width="11.8359375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3</v>
      </c>
    </row>
    <row r="2" spans="1:4" x14ac:dyDescent="0.2">
      <c r="A2" t="s">
        <v>27</v>
      </c>
      <c r="B2" t="s">
        <v>28</v>
      </c>
      <c r="C2" t="s">
        <v>29</v>
      </c>
      <c r="D2">
        <v>5</v>
      </c>
    </row>
    <row r="3" spans="1:4" x14ac:dyDescent="0.2">
      <c r="A3" t="s">
        <v>26</v>
      </c>
      <c r="B3" t="s">
        <v>15</v>
      </c>
      <c r="C3" t="s">
        <v>30</v>
      </c>
      <c r="D3">
        <v>12</v>
      </c>
    </row>
    <row r="4" spans="1:4" x14ac:dyDescent="0.2">
      <c r="A4" t="s">
        <v>25</v>
      </c>
      <c r="B4" t="s">
        <v>9</v>
      </c>
      <c r="C4" t="s">
        <v>29</v>
      </c>
      <c r="D4">
        <v>2</v>
      </c>
    </row>
    <row r="5" spans="1:4" x14ac:dyDescent="0.2">
      <c r="A5" t="s">
        <v>24</v>
      </c>
      <c r="B5" t="s">
        <v>6</v>
      </c>
      <c r="C5" t="s">
        <v>31</v>
      </c>
      <c r="D5">
        <v>8</v>
      </c>
    </row>
    <row r="6" spans="1:4" x14ac:dyDescent="0.2">
      <c r="A6" t="s">
        <v>23</v>
      </c>
      <c r="B6" t="s">
        <v>12</v>
      </c>
      <c r="C6" t="s">
        <v>30</v>
      </c>
      <c r="D6">
        <v>1</v>
      </c>
    </row>
    <row r="7" spans="1:4" x14ac:dyDescent="0.2">
      <c r="A7" t="s">
        <v>22</v>
      </c>
      <c r="B7" t="s">
        <v>9</v>
      </c>
      <c r="C7" t="s">
        <v>31</v>
      </c>
      <c r="D7">
        <v>15</v>
      </c>
    </row>
    <row r="8" spans="1:4" x14ac:dyDescent="0.2">
      <c r="A8" t="s">
        <v>21</v>
      </c>
      <c r="B8" t="s">
        <v>18</v>
      </c>
      <c r="C8" t="s">
        <v>29</v>
      </c>
      <c r="D8">
        <v>4</v>
      </c>
    </row>
  </sheetData>
  <dataConsolidate/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80D3-1BD3-4C28-8B86-7FC00FD7DEF7}">
  <dimension ref="A1:B4"/>
  <sheetViews>
    <sheetView workbookViewId="0"/>
  </sheetViews>
  <sheetFormatPr defaultRowHeight="15" x14ac:dyDescent="0.2"/>
  <cols>
    <col min="1" max="1" width="12.375" bestFit="1" customWidth="1"/>
    <col min="2" max="2" width="14.66015625" bestFit="1" customWidth="1"/>
  </cols>
  <sheetData>
    <row r="1" spans="1:2" x14ac:dyDescent="0.2">
      <c r="A1" t="s">
        <v>32</v>
      </c>
      <c r="B1" t="s">
        <v>33</v>
      </c>
    </row>
    <row r="2" spans="1:2" x14ac:dyDescent="0.2">
      <c r="A2">
        <v>150</v>
      </c>
      <c r="B2" t="s">
        <v>29</v>
      </c>
    </row>
    <row r="3" spans="1:2" x14ac:dyDescent="0.2">
      <c r="A3">
        <v>45</v>
      </c>
      <c r="B3" t="s">
        <v>30</v>
      </c>
    </row>
    <row r="4" spans="1:2" x14ac:dyDescent="0.2">
      <c r="A4">
        <v>85</v>
      </c>
      <c r="B4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5852-836F-447D-9EBA-B0AD35187BE3}">
  <dimension ref="A1:B4"/>
  <sheetViews>
    <sheetView workbookViewId="0">
      <selection activeCell="A4" sqref="A4"/>
    </sheetView>
  </sheetViews>
  <sheetFormatPr defaultRowHeight="15" x14ac:dyDescent="0.2"/>
  <cols>
    <col min="1" max="1" width="11.97265625" customWidth="1"/>
    <col min="2" max="2" width="14.390625" customWidth="1"/>
    <col min="14" max="14" width="10.35546875" customWidth="1"/>
  </cols>
  <sheetData>
    <row r="1" spans="1:2" x14ac:dyDescent="0.2">
      <c r="A1" t="s">
        <v>32</v>
      </c>
      <c r="B1" t="s">
        <v>33</v>
      </c>
    </row>
    <row r="2" spans="1:2" x14ac:dyDescent="0.2">
      <c r="A2">
        <v>150</v>
      </c>
      <c r="B2" t="s">
        <v>29</v>
      </c>
    </row>
    <row r="3" spans="1:2" x14ac:dyDescent="0.2">
      <c r="A3">
        <v>45</v>
      </c>
      <c r="B3" t="s">
        <v>30</v>
      </c>
    </row>
    <row r="4" spans="1:2" x14ac:dyDescent="0.2">
      <c r="A4">
        <v>85</v>
      </c>
      <c r="B4" t="s">
        <v>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FF16-A523-4AA1-BE4F-A5E3BCD3895E}">
  <dimension ref="A1:C6"/>
  <sheetViews>
    <sheetView workbookViewId="0"/>
  </sheetViews>
  <sheetFormatPr defaultRowHeight="15" x14ac:dyDescent="0.2"/>
  <cols>
    <col min="1" max="1" width="14.2578125" bestFit="1" customWidth="1"/>
    <col min="2" max="2" width="17.21875" bestFit="1" customWidth="1"/>
    <col min="3" max="3" width="8.7421875" bestFit="1" customWidth="1"/>
  </cols>
  <sheetData>
    <row r="1" spans="1:3" x14ac:dyDescent="0.2">
      <c r="A1" t="s">
        <v>20</v>
      </c>
      <c r="B1" t="s">
        <v>4</v>
      </c>
      <c r="C1" t="s">
        <v>5</v>
      </c>
    </row>
    <row r="2" spans="1:3" x14ac:dyDescent="0.2">
      <c r="A2" t="s">
        <v>6</v>
      </c>
      <c r="B2" t="s">
        <v>7</v>
      </c>
      <c r="C2" t="s">
        <v>8</v>
      </c>
    </row>
    <row r="3" spans="1:3" x14ac:dyDescent="0.2">
      <c r="A3" t="s">
        <v>9</v>
      </c>
      <c r="B3" t="s">
        <v>10</v>
      </c>
      <c r="C3" t="s">
        <v>11</v>
      </c>
    </row>
    <row r="4" spans="1:3" x14ac:dyDescent="0.2">
      <c r="A4" t="s">
        <v>12</v>
      </c>
      <c r="B4" t="s">
        <v>13</v>
      </c>
      <c r="C4" t="s">
        <v>14</v>
      </c>
    </row>
    <row r="5" spans="1:3" x14ac:dyDescent="0.2">
      <c r="A5" t="s">
        <v>15</v>
      </c>
      <c r="B5" t="s">
        <v>16</v>
      </c>
      <c r="C5" t="s">
        <v>17</v>
      </c>
    </row>
    <row r="6" spans="1:3" x14ac:dyDescent="0.2">
      <c r="A6" t="s">
        <v>18</v>
      </c>
      <c r="B6" t="s">
        <v>19</v>
      </c>
      <c r="C6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686B-DE8D-4D9B-9D78-C6C360FA2F3A}">
  <dimension ref="A1:C6"/>
  <sheetViews>
    <sheetView workbookViewId="0">
      <selection activeCell="B3" sqref="B3"/>
    </sheetView>
  </sheetViews>
  <sheetFormatPr defaultRowHeight="15" x14ac:dyDescent="0.2"/>
  <cols>
    <col min="1" max="1" width="13.85546875" customWidth="1"/>
    <col min="2" max="2" width="16.8125" customWidth="1"/>
  </cols>
  <sheetData>
    <row r="1" spans="1:3" x14ac:dyDescent="0.2">
      <c r="A1" s="1" t="s">
        <v>20</v>
      </c>
      <c r="B1" s="1" t="s">
        <v>4</v>
      </c>
      <c r="C1" s="1" t="s">
        <v>5</v>
      </c>
    </row>
    <row r="2" spans="1:3" x14ac:dyDescent="0.2">
      <c r="A2" t="s">
        <v>6</v>
      </c>
      <c r="B2" t="s">
        <v>7</v>
      </c>
      <c r="C2" t="s">
        <v>8</v>
      </c>
    </row>
    <row r="3" spans="1:3" x14ac:dyDescent="0.2">
      <c r="A3" t="s">
        <v>9</v>
      </c>
      <c r="B3" t="s">
        <v>10</v>
      </c>
      <c r="C3" t="s">
        <v>11</v>
      </c>
    </row>
    <row r="4" spans="1:3" x14ac:dyDescent="0.2">
      <c r="A4" t="s">
        <v>12</v>
      </c>
      <c r="B4" t="s">
        <v>13</v>
      </c>
      <c r="C4" t="s">
        <v>14</v>
      </c>
    </row>
    <row r="5" spans="1:3" x14ac:dyDescent="0.2">
      <c r="A5" t="s">
        <v>15</v>
      </c>
      <c r="B5" t="s">
        <v>16</v>
      </c>
      <c r="C5" t="s">
        <v>17</v>
      </c>
    </row>
    <row r="6" spans="1:3" x14ac:dyDescent="0.2">
      <c r="A6" t="s">
        <v>18</v>
      </c>
      <c r="B6" t="s">
        <v>19</v>
      </c>
      <c r="C6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A309777C-A5F9-4821-936B-F1A65B16BB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Pivot_Analysis</vt:lpstr>
      <vt:lpstr>Executive_Dashboard</vt:lpstr>
      <vt:lpstr>Clean_Data_Warehouse</vt:lpstr>
      <vt:lpstr>Raw_Orders</vt:lpstr>
      <vt:lpstr>Table3</vt:lpstr>
      <vt:lpstr>Product_Catalog</vt:lpstr>
      <vt:lpstr>Table2</vt:lpstr>
      <vt:lpstr>Master_Customers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 Durgam</dc:creator>
  <cp:lastModifiedBy>Sanjeeth Durgam</cp:lastModifiedBy>
  <dcterms:created xsi:type="dcterms:W3CDTF">2026-10-10T06:35:19Z</dcterms:created>
  <dcterms:modified xsi:type="dcterms:W3CDTF">2026-10-10T12:01:33Z</dcterms:modified>
</cp:coreProperties>
</file>